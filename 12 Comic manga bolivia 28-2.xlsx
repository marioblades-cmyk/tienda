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8" yWindow="-108" windowWidth="23256" windowHeight="12456"/>
  </bookViews>
  <sheets>
    <sheet name="Despacho 1" sheetId="12" r:id="rId1"/>
  </sheets>
  <definedNames>
    <definedName name="datoos">#REF!</definedName>
    <definedName name="datos">#REF!</definedName>
    <definedName name="datos1">#REF!</definedName>
    <definedName name="datoss">#REF!</definedName>
    <definedName name="PAN">#REF!</definedName>
    <definedName name="SAR">#REF!</definedName>
    <definedName name="SARM">#REF!</definedName>
  </definedNames>
  <calcPr calcId="145621"/>
  <extLst>
    <ext uri="GoogleSheetsCustomDataVersion2">
      <go:sheetsCustomData xmlns:go="http://customooxmlschemas.google.com/" r:id="rId15" roundtripDataChecksum="qXC875/wk3uCRrkvJbQvM/yyFyz8DLB+vslOmU/cfKc="/>
    </ext>
  </extLst>
</workbook>
</file>

<file path=xl/calcChain.xml><?xml version="1.0" encoding="utf-8"?>
<calcChain xmlns="http://schemas.openxmlformats.org/spreadsheetml/2006/main">
  <c r="D65" i="12" l="1"/>
  <c r="D63" i="12"/>
  <c r="D62" i="12"/>
  <c r="D61" i="12"/>
  <c r="D57" i="12"/>
  <c r="D56" i="12"/>
  <c r="D55" i="12"/>
  <c r="D50" i="12"/>
  <c r="D49" i="12"/>
  <c r="D48" i="12"/>
  <c r="D39" i="12"/>
  <c r="D35" i="12"/>
  <c r="D34" i="12"/>
  <c r="D33" i="12"/>
  <c r="D22" i="12"/>
  <c r="D21" i="12"/>
  <c r="D20" i="12"/>
  <c r="D60" i="12"/>
  <c r="D54" i="12"/>
  <c r="D53" i="12"/>
  <c r="D45" i="12"/>
  <c r="D46" i="12"/>
  <c r="D47" i="12"/>
  <c r="D44" i="12"/>
  <c r="D26" i="12"/>
  <c r="D27" i="12"/>
  <c r="D28" i="12"/>
  <c r="D29" i="12"/>
  <c r="D30" i="12"/>
  <c r="D31" i="12"/>
  <c r="D32" i="12"/>
  <c r="D25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" i="12"/>
  <c r="D38" i="12" l="1"/>
</calcChain>
</file>

<file path=xl/sharedStrings.xml><?xml version="1.0" encoding="utf-8"?>
<sst xmlns="http://schemas.openxmlformats.org/spreadsheetml/2006/main" count="58" uniqueCount="45">
  <si>
    <t>IRUMA KUN EN LA ESCUELA DE DEMONIOS 14</t>
  </si>
  <si>
    <t>IRUMA KUN EN LA ESCUELA DE DEMONIOS 15</t>
  </si>
  <si>
    <t>SAINT SEIYA ED. KANZENBAN 22</t>
  </si>
  <si>
    <t>DUNGEON MESHI 06</t>
  </si>
  <si>
    <t>RUROUNI KENSHIN ED. KANZENBAN 12</t>
  </si>
  <si>
    <t>HAIKYU!! 41</t>
  </si>
  <si>
    <t>HUNTER X HUNTER 01</t>
  </si>
  <si>
    <t>HUNTER X HUNTER 02</t>
  </si>
  <si>
    <t>HUNTER X HUNTER 03</t>
  </si>
  <si>
    <t>HUNTER X HUNTER 04</t>
  </si>
  <si>
    <t>INUYASHA 19</t>
  </si>
  <si>
    <t>JOJO’S BIZARRE ADVENTURE: CRAZY DIAMOND’S DEMONIC HEARTBREAK 03</t>
  </si>
  <si>
    <t>KILL BLUE 07</t>
  </si>
  <si>
    <t>KILL BLUE 08</t>
  </si>
  <si>
    <t>SOLO LEVELING 01</t>
  </si>
  <si>
    <t>SOLO LEVELING 11</t>
  </si>
  <si>
    <t>TU LADO OCULTO 02</t>
  </si>
  <si>
    <t>KAIJU N8 16</t>
  </si>
  <si>
    <t>DC - WONDER WOMAN ABSOLUTA Vol. 2</t>
  </si>
  <si>
    <t>HEROS - ATOM: THE BEGINNING Vol. 11</t>
  </si>
  <si>
    <t>MOZTROS - UNIVERSO TRANSFORMERS: G.I. JOE Vol 01</t>
  </si>
  <si>
    <t>DC - BLACK LABEL - HUMAN TARGET (ED. ABSOLUTA)</t>
  </si>
  <si>
    <t>IDW COMICS - TMNT - EL ÚLTIMO RONIN: LOS AÑOS PERDIDOS</t>
  </si>
  <si>
    <t>KODANSHA - NieR:AUTOMATA Vol. 03</t>
  </si>
  <si>
    <t>KODANSHA - NieR:AUTOMATA Vol. 4 (FINAL)</t>
  </si>
  <si>
    <t>MOZTROS - SAINT SEIYA: LA ODISEA DEL TIEMPO Vol. 2 (LATAM)</t>
  </si>
  <si>
    <t>ULTIMATE SPIDERMAN VOL 01 CASADO CON HIJOS</t>
  </si>
  <si>
    <t>TOUGEN ANKI 2</t>
  </si>
  <si>
    <t>EL GUARDAESPALDAS DE HONEKO AKABANE 04</t>
  </si>
  <si>
    <t>MI AMOR POR YAMADA ESTA AL NV. 999 05</t>
  </si>
  <si>
    <t>REALIDADES A MEDIDA</t>
  </si>
  <si>
    <t xml:space="preserve">EL HORROR DE DUNWICH 01 </t>
  </si>
  <si>
    <t>HAJIME NO IPPO 01</t>
  </si>
  <si>
    <t>COMIC MANGA BOLIVIA 28-2</t>
  </si>
  <si>
    <t>OVNI PRESS</t>
  </si>
  <si>
    <t>PANINI</t>
  </si>
  <si>
    <t>PENGUIN</t>
  </si>
  <si>
    <t>PLANETA</t>
  </si>
  <si>
    <t>croosbooks</t>
  </si>
  <si>
    <t>EN ALGÚN LUGAR DEL MAR MÁS AZUL</t>
  </si>
  <si>
    <t>Subtotal</t>
  </si>
  <si>
    <t>Descuento</t>
  </si>
  <si>
    <t>Total</t>
  </si>
  <si>
    <t xml:space="preserve">Envio 2 cajas </t>
  </si>
  <si>
    <t>Total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</si>
</sst>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_-[$$-409]* #,##0.00_ ;_-[$$-409]* \-#,##0.00\ ;_-[$$-409]* &quot;-&quot;??_ ;_-@_ "/>
  </numFmts>
  <fonts count="6" x14ac:knownFonts="1">
    <font>
      <sz val="11"/>
      <color theme="1"/>
      <name val="Arial"/>
      <scheme val="minor"/>
    </font>
    <font>
      <sz val="11"/>
      <color rgb="FFFF0000"/>
      <name val="Calibri"/>
      <family val="2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5" fillId="0" borderId="0" xfId="0" applyFont="1" applyFill="1" applyAlignment="1">
      <alignment horizontal="center"/>
    </xf>
    <xf numFmtId="168" fontId="4" fillId="0" borderId="0" xfId="0" applyNumberFormat="1" applyFont="1" applyFill="1"/>
    <xf numFmtId="49" fontId="4" fillId="0" borderId="1" xfId="0" applyNumberFormat="1" applyFont="1" applyFill="1" applyBorder="1"/>
    <xf numFmtId="168" fontId="4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horizontal="center"/>
    </xf>
    <xf numFmtId="168" fontId="4" fillId="0" borderId="1" xfId="0" applyNumberFormat="1" applyFont="1" applyFill="1" applyBorder="1"/>
    <xf numFmtId="0" fontId="4" fillId="0" borderId="1" xfId="0" applyFont="1" applyFill="1" applyBorder="1"/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168" fontId="4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vertical="top"/>
    </xf>
    <xf numFmtId="168" fontId="4" fillId="0" borderId="1" xfId="0" applyNumberFormat="1" applyFont="1" applyFill="1" applyBorder="1" applyAlignment="1">
      <alignment horizontal="right" vertical="top"/>
    </xf>
    <xf numFmtId="168" fontId="4" fillId="0" borderId="1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vertical="center"/>
    </xf>
    <xf numFmtId="168" fontId="4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/>
    <xf numFmtId="168" fontId="1" fillId="0" borderId="1" xfId="0" applyNumberFormat="1" applyFont="1" applyFill="1" applyBorder="1" applyAlignment="1">
      <alignment vertical="center"/>
    </xf>
    <xf numFmtId="1" fontId="1" fillId="0" borderId="1" xfId="0" applyNumberFormat="1" applyFont="1" applyFill="1" applyBorder="1" applyAlignment="1">
      <alignment horizontal="center" vertical="center"/>
    </xf>
    <xf numFmtId="168" fontId="1" fillId="0" borderId="1" xfId="0" applyNumberFormat="1" applyFont="1" applyFill="1" applyBorder="1"/>
    <xf numFmtId="0" fontId="3" fillId="0" borderId="0" xfId="0" applyFont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5" fillId="0" borderId="0" xfId="0" applyFont="1" applyFill="1"/>
    <xf numFmtId="168" fontId="5" fillId="0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1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Ivrea-style" pivot="0" count="3">
      <tableStyleElement type="headerRow" dxfId="17"/>
      <tableStyleElement type="firstRowStripe" dxfId="16"/>
      <tableStyleElement type="secondRowStripe" dxfId="15"/>
    </tableStyle>
    <tableStyle name="Ovnipress-style" pivot="0" count="3">
      <tableStyleElement type="headerRow" dxfId="14"/>
      <tableStyleElement type="firstRowStripe" dxfId="13"/>
      <tableStyleElement type="secondRowStripe" dxfId="12"/>
    </tableStyle>
    <tableStyle name="Panini-Utopia-style" pivot="0" count="3">
      <tableStyleElement type="headerRow" dxfId="11"/>
      <tableStyleElement type="firstRowStripe" dxfId="10"/>
      <tableStyleElement type="secondRowStripe" dxfId="9"/>
    </tableStyle>
    <tableStyle name="Penguin-style" pivot="0" count="3">
      <tableStyleElement type="headerRow" dxfId="8"/>
      <tableStyleElement type="firstRowStripe" dxfId="7"/>
      <tableStyleElement type="secondRowStripe" dxfId="6"/>
    </tableStyle>
    <tableStyle name="Planeta-style" pivot="0" count="3">
      <tableStyleElement type="headerRow" dxfId="5"/>
      <tableStyleElement type="firstRowStripe" dxfId="4"/>
      <tableStyleElement type="secondRowStripe" dxfId="3"/>
    </tableStyle>
    <tableStyle name="Deux-PopFiction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topLeftCell="A46" workbookViewId="0">
      <selection activeCell="A65" sqref="A65:XFD66"/>
    </sheetView>
  </sheetViews>
  <sheetFormatPr baseColWidth="10" defaultRowHeight="14.4" x14ac:dyDescent="0.3"/>
  <cols>
    <col min="1" max="1" width="57.69921875" style="2" bestFit="1" customWidth="1"/>
    <col min="2" max="2" width="11.296875" style="4" bestFit="1" customWidth="1"/>
    <col min="3" max="3" width="11.296875" style="1" bestFit="1" customWidth="1"/>
    <col min="4" max="4" width="11.5" style="4" bestFit="1" customWidth="1"/>
  </cols>
  <sheetData>
    <row r="1" spans="1:4" x14ac:dyDescent="0.3">
      <c r="A1" s="3" t="s">
        <v>33</v>
      </c>
    </row>
    <row r="2" spans="1:4" x14ac:dyDescent="0.3">
      <c r="A2" s="5" t="s">
        <v>0</v>
      </c>
      <c r="B2" s="6">
        <v>18900</v>
      </c>
      <c r="C2" s="7">
        <v>2</v>
      </c>
      <c r="D2" s="8">
        <f>B2*C2</f>
        <v>37800</v>
      </c>
    </row>
    <row r="3" spans="1:4" x14ac:dyDescent="0.3">
      <c r="A3" s="5" t="s">
        <v>1</v>
      </c>
      <c r="B3" s="6">
        <v>18900</v>
      </c>
      <c r="C3" s="7">
        <v>2</v>
      </c>
      <c r="D3" s="8">
        <f t="shared" ref="D3:D19" si="0">B3*C3</f>
        <v>37800</v>
      </c>
    </row>
    <row r="4" spans="1:4" x14ac:dyDescent="0.3">
      <c r="A4" s="5" t="s">
        <v>2</v>
      </c>
      <c r="B4" s="6">
        <v>23500</v>
      </c>
      <c r="C4" s="7">
        <v>2</v>
      </c>
      <c r="D4" s="8">
        <f t="shared" si="0"/>
        <v>47000</v>
      </c>
    </row>
    <row r="5" spans="1:4" x14ac:dyDescent="0.3">
      <c r="A5" s="5" t="s">
        <v>3</v>
      </c>
      <c r="B5" s="6">
        <v>18900</v>
      </c>
      <c r="C5" s="7">
        <v>5</v>
      </c>
      <c r="D5" s="8">
        <f t="shared" si="0"/>
        <v>94500</v>
      </c>
    </row>
    <row r="6" spans="1:4" x14ac:dyDescent="0.3">
      <c r="A6" s="9" t="s">
        <v>4</v>
      </c>
      <c r="B6" s="6">
        <v>23500</v>
      </c>
      <c r="C6" s="7">
        <v>2</v>
      </c>
      <c r="D6" s="8">
        <f t="shared" si="0"/>
        <v>47000</v>
      </c>
    </row>
    <row r="7" spans="1:4" x14ac:dyDescent="0.3">
      <c r="A7" s="5" t="s">
        <v>5</v>
      </c>
      <c r="B7" s="6">
        <v>9500</v>
      </c>
      <c r="C7" s="7">
        <v>1</v>
      </c>
      <c r="D7" s="8">
        <f t="shared" si="0"/>
        <v>9500</v>
      </c>
    </row>
    <row r="8" spans="1:4" x14ac:dyDescent="0.3">
      <c r="A8" s="5" t="s">
        <v>6</v>
      </c>
      <c r="B8" s="6">
        <v>9500</v>
      </c>
      <c r="C8" s="7">
        <v>1</v>
      </c>
      <c r="D8" s="8">
        <f t="shared" si="0"/>
        <v>9500</v>
      </c>
    </row>
    <row r="9" spans="1:4" s="25" customFormat="1" x14ac:dyDescent="0.3">
      <c r="A9" s="21" t="s">
        <v>7</v>
      </c>
      <c r="B9" s="22">
        <v>9500</v>
      </c>
      <c r="C9" s="23">
        <v>0</v>
      </c>
      <c r="D9" s="24">
        <f t="shared" si="0"/>
        <v>0</v>
      </c>
    </row>
    <row r="10" spans="1:4" x14ac:dyDescent="0.3">
      <c r="A10" s="5" t="s">
        <v>8</v>
      </c>
      <c r="B10" s="6">
        <v>9500</v>
      </c>
      <c r="C10" s="10">
        <v>1</v>
      </c>
      <c r="D10" s="8">
        <f t="shared" si="0"/>
        <v>9500</v>
      </c>
    </row>
    <row r="11" spans="1:4" x14ac:dyDescent="0.3">
      <c r="A11" s="5" t="s">
        <v>9</v>
      </c>
      <c r="B11" s="6">
        <v>9500</v>
      </c>
      <c r="C11" s="7">
        <v>1</v>
      </c>
      <c r="D11" s="8">
        <f t="shared" si="0"/>
        <v>9500</v>
      </c>
    </row>
    <row r="12" spans="1:4" x14ac:dyDescent="0.3">
      <c r="A12" s="5" t="s">
        <v>10</v>
      </c>
      <c r="B12" s="6">
        <v>17900</v>
      </c>
      <c r="C12" s="7">
        <v>1</v>
      </c>
      <c r="D12" s="8">
        <f t="shared" si="0"/>
        <v>17900</v>
      </c>
    </row>
    <row r="13" spans="1:4" x14ac:dyDescent="0.3">
      <c r="A13" s="5" t="s">
        <v>11</v>
      </c>
      <c r="B13" s="6">
        <v>10500</v>
      </c>
      <c r="C13" s="7">
        <v>1</v>
      </c>
      <c r="D13" s="8">
        <f t="shared" si="0"/>
        <v>10500</v>
      </c>
    </row>
    <row r="14" spans="1:4" x14ac:dyDescent="0.3">
      <c r="A14" s="9" t="s">
        <v>12</v>
      </c>
      <c r="B14" s="6">
        <v>9500</v>
      </c>
      <c r="C14" s="7">
        <v>1</v>
      </c>
      <c r="D14" s="8">
        <f t="shared" si="0"/>
        <v>9500</v>
      </c>
    </row>
    <row r="15" spans="1:4" x14ac:dyDescent="0.3">
      <c r="A15" s="9" t="s">
        <v>13</v>
      </c>
      <c r="B15" s="6">
        <v>9500</v>
      </c>
      <c r="C15" s="7">
        <v>1</v>
      </c>
      <c r="D15" s="8">
        <f t="shared" si="0"/>
        <v>9500</v>
      </c>
    </row>
    <row r="16" spans="1:4" x14ac:dyDescent="0.3">
      <c r="A16" s="9" t="s">
        <v>14</v>
      </c>
      <c r="B16" s="6">
        <v>27900</v>
      </c>
      <c r="C16" s="7">
        <v>1</v>
      </c>
      <c r="D16" s="8">
        <f t="shared" si="0"/>
        <v>27900</v>
      </c>
    </row>
    <row r="17" spans="1:4" x14ac:dyDescent="0.3">
      <c r="A17" s="5" t="s">
        <v>15</v>
      </c>
      <c r="B17" s="6">
        <v>27900</v>
      </c>
      <c r="C17" s="7">
        <v>1</v>
      </c>
      <c r="D17" s="8">
        <f t="shared" si="0"/>
        <v>27900</v>
      </c>
    </row>
    <row r="18" spans="1:4" x14ac:dyDescent="0.3">
      <c r="A18" s="5" t="s">
        <v>16</v>
      </c>
      <c r="B18" s="6">
        <v>10500</v>
      </c>
      <c r="C18" s="7">
        <v>1</v>
      </c>
      <c r="D18" s="8">
        <f t="shared" si="0"/>
        <v>10500</v>
      </c>
    </row>
    <row r="19" spans="1:4" x14ac:dyDescent="0.3">
      <c r="A19" s="5" t="s">
        <v>17</v>
      </c>
      <c r="B19" s="6">
        <v>9500</v>
      </c>
      <c r="C19" s="7">
        <v>1</v>
      </c>
      <c r="D19" s="8">
        <f t="shared" si="0"/>
        <v>9500</v>
      </c>
    </row>
    <row r="20" spans="1:4" x14ac:dyDescent="0.3">
      <c r="A20" s="2" t="s">
        <v>40</v>
      </c>
      <c r="D20" s="4">
        <f>SUM(D2:D19)</f>
        <v>425300</v>
      </c>
    </row>
    <row r="21" spans="1:4" x14ac:dyDescent="0.3">
      <c r="A21" s="2" t="s">
        <v>41</v>
      </c>
      <c r="D21" s="4">
        <f>D20*0.35</f>
        <v>148855</v>
      </c>
    </row>
    <row r="22" spans="1:4" x14ac:dyDescent="0.3">
      <c r="A22" s="2" t="s">
        <v>42</v>
      </c>
      <c r="D22" s="4">
        <f>D20-D21</f>
        <v>276445</v>
      </c>
    </row>
    <row r="24" spans="1:4" x14ac:dyDescent="0.3">
      <c r="A24" s="2" t="s">
        <v>34</v>
      </c>
    </row>
    <row r="25" spans="1:4" x14ac:dyDescent="0.3">
      <c r="A25" s="11" t="s">
        <v>18</v>
      </c>
      <c r="B25" s="12">
        <v>24000</v>
      </c>
      <c r="C25" s="13">
        <v>5</v>
      </c>
      <c r="D25" s="8">
        <f>B25*C25</f>
        <v>120000</v>
      </c>
    </row>
    <row r="26" spans="1:4" x14ac:dyDescent="0.3">
      <c r="A26" s="11" t="s">
        <v>19</v>
      </c>
      <c r="B26" s="12">
        <v>11000</v>
      </c>
      <c r="C26" s="13">
        <v>1</v>
      </c>
      <c r="D26" s="8">
        <f t="shared" ref="D26:D32" si="1">B26*C26</f>
        <v>11000</v>
      </c>
    </row>
    <row r="27" spans="1:4" x14ac:dyDescent="0.3">
      <c r="A27" s="14" t="s">
        <v>20</v>
      </c>
      <c r="B27" s="12">
        <v>23000</v>
      </c>
      <c r="C27" s="13">
        <v>1</v>
      </c>
      <c r="D27" s="8">
        <f t="shared" si="1"/>
        <v>23000</v>
      </c>
    </row>
    <row r="28" spans="1:4" x14ac:dyDescent="0.3">
      <c r="A28" s="14" t="s">
        <v>21</v>
      </c>
      <c r="B28" s="12">
        <v>34000</v>
      </c>
      <c r="C28" s="13">
        <v>2</v>
      </c>
      <c r="D28" s="8">
        <f t="shared" si="1"/>
        <v>68000</v>
      </c>
    </row>
    <row r="29" spans="1:4" x14ac:dyDescent="0.3">
      <c r="A29" s="14" t="s">
        <v>22</v>
      </c>
      <c r="B29" s="12">
        <v>26000</v>
      </c>
      <c r="C29" s="13">
        <v>1</v>
      </c>
      <c r="D29" s="8">
        <f t="shared" si="1"/>
        <v>26000</v>
      </c>
    </row>
    <row r="30" spans="1:4" x14ac:dyDescent="0.3">
      <c r="A30" s="14" t="s">
        <v>23</v>
      </c>
      <c r="B30" s="12">
        <v>14000</v>
      </c>
      <c r="C30" s="13">
        <v>1</v>
      </c>
      <c r="D30" s="8">
        <f t="shared" si="1"/>
        <v>14000</v>
      </c>
    </row>
    <row r="31" spans="1:4" x14ac:dyDescent="0.3">
      <c r="A31" s="14" t="s">
        <v>24</v>
      </c>
      <c r="B31" s="12">
        <v>14000</v>
      </c>
      <c r="C31" s="13">
        <v>1</v>
      </c>
      <c r="D31" s="8">
        <f t="shared" si="1"/>
        <v>14000</v>
      </c>
    </row>
    <row r="32" spans="1:4" x14ac:dyDescent="0.3">
      <c r="A32" s="14" t="s">
        <v>25</v>
      </c>
      <c r="B32" s="12">
        <v>19000</v>
      </c>
      <c r="C32" s="13">
        <v>1</v>
      </c>
      <c r="D32" s="8">
        <f t="shared" si="1"/>
        <v>19000</v>
      </c>
    </row>
    <row r="33" spans="1:4" x14ac:dyDescent="0.3">
      <c r="A33" s="2" t="s">
        <v>40</v>
      </c>
      <c r="D33" s="4">
        <f>SUM(D25:D32)</f>
        <v>295000</v>
      </c>
    </row>
    <row r="34" spans="1:4" x14ac:dyDescent="0.3">
      <c r="A34" s="2" t="s">
        <v>41</v>
      </c>
      <c r="D34" s="4">
        <f>D33*0.3</f>
        <v>88500</v>
      </c>
    </row>
    <row r="35" spans="1:4" x14ac:dyDescent="0.3">
      <c r="A35" s="2" t="s">
        <v>42</v>
      </c>
      <c r="D35" s="4">
        <f>D33-D34</f>
        <v>206500</v>
      </c>
    </row>
    <row r="37" spans="1:4" x14ac:dyDescent="0.3">
      <c r="A37" s="2" t="s">
        <v>35</v>
      </c>
    </row>
    <row r="38" spans="1:4" s="25" customFormat="1" x14ac:dyDescent="0.3">
      <c r="A38" s="26" t="s">
        <v>26</v>
      </c>
      <c r="B38" s="24">
        <v>14300</v>
      </c>
      <c r="C38" s="27">
        <v>0</v>
      </c>
      <c r="D38" s="24">
        <f>C38*B38</f>
        <v>0</v>
      </c>
    </row>
    <row r="39" spans="1:4" x14ac:dyDescent="0.3">
      <c r="A39" s="2" t="s">
        <v>42</v>
      </c>
      <c r="D39" s="4">
        <f>SUM(D38)</f>
        <v>0</v>
      </c>
    </row>
    <row r="43" spans="1:4" x14ac:dyDescent="0.3">
      <c r="A43" s="2" t="s">
        <v>36</v>
      </c>
    </row>
    <row r="44" spans="1:4" x14ac:dyDescent="0.3">
      <c r="A44" s="16" t="s">
        <v>27</v>
      </c>
      <c r="B44" s="17">
        <v>21900</v>
      </c>
      <c r="C44" s="15">
        <v>1</v>
      </c>
      <c r="D44" s="8">
        <f>B44*C44</f>
        <v>21900</v>
      </c>
    </row>
    <row r="45" spans="1:4" x14ac:dyDescent="0.3">
      <c r="A45" s="16" t="s">
        <v>28</v>
      </c>
      <c r="B45" s="17">
        <v>13900</v>
      </c>
      <c r="C45" s="15">
        <v>2</v>
      </c>
      <c r="D45" s="8">
        <f t="shared" ref="D45:D47" si="2">B45*C45</f>
        <v>27800</v>
      </c>
    </row>
    <row r="46" spans="1:4" x14ac:dyDescent="0.3">
      <c r="A46" s="16" t="s">
        <v>29</v>
      </c>
      <c r="B46" s="17">
        <v>13900</v>
      </c>
      <c r="C46" s="15">
        <v>1</v>
      </c>
      <c r="D46" s="8">
        <f t="shared" si="2"/>
        <v>13900</v>
      </c>
    </row>
    <row r="47" spans="1:4" x14ac:dyDescent="0.3">
      <c r="A47" s="16" t="s">
        <v>30</v>
      </c>
      <c r="B47" s="17">
        <v>49799</v>
      </c>
      <c r="C47" s="15">
        <v>1</v>
      </c>
      <c r="D47" s="8">
        <f t="shared" si="2"/>
        <v>49799</v>
      </c>
    </row>
    <row r="48" spans="1:4" x14ac:dyDescent="0.3">
      <c r="A48" s="2" t="s">
        <v>40</v>
      </c>
      <c r="D48" s="4">
        <f>SUM(D44:D47)</f>
        <v>113399</v>
      </c>
    </row>
    <row r="49" spans="1:4" x14ac:dyDescent="0.3">
      <c r="A49" s="2" t="s">
        <v>41</v>
      </c>
      <c r="D49" s="4">
        <f>D48*0.35</f>
        <v>39689.649999999994</v>
      </c>
    </row>
    <row r="50" spans="1:4" x14ac:dyDescent="0.3">
      <c r="A50" s="2" t="s">
        <v>42</v>
      </c>
      <c r="D50" s="4">
        <f>D48-D49</f>
        <v>73709.350000000006</v>
      </c>
    </row>
    <row r="52" spans="1:4" x14ac:dyDescent="0.3">
      <c r="A52" s="2" t="s">
        <v>37</v>
      </c>
    </row>
    <row r="53" spans="1:4" x14ac:dyDescent="0.3">
      <c r="A53" s="11" t="s">
        <v>31</v>
      </c>
      <c r="B53" s="18">
        <v>19900</v>
      </c>
      <c r="C53" s="15">
        <v>2</v>
      </c>
      <c r="D53" s="8">
        <f>B53*C53</f>
        <v>39800</v>
      </c>
    </row>
    <row r="54" spans="1:4" x14ac:dyDescent="0.3">
      <c r="A54" s="19" t="s">
        <v>32</v>
      </c>
      <c r="B54" s="20">
        <v>21900</v>
      </c>
      <c r="C54" s="15">
        <v>1</v>
      </c>
      <c r="D54" s="8">
        <f>B54*C54</f>
        <v>21900</v>
      </c>
    </row>
    <row r="55" spans="1:4" x14ac:dyDescent="0.3">
      <c r="A55" s="2" t="s">
        <v>40</v>
      </c>
      <c r="D55" s="4">
        <f>SUM(D53:D54)</f>
        <v>61700</v>
      </c>
    </row>
    <row r="56" spans="1:4" x14ac:dyDescent="0.3">
      <c r="A56" s="2" t="s">
        <v>41</v>
      </c>
      <c r="D56" s="4">
        <f>D55*0.35</f>
        <v>21595</v>
      </c>
    </row>
    <row r="57" spans="1:4" x14ac:dyDescent="0.3">
      <c r="A57" s="2" t="s">
        <v>42</v>
      </c>
      <c r="D57" s="4">
        <f>D55-D56</f>
        <v>40105</v>
      </c>
    </row>
    <row r="59" spans="1:4" x14ac:dyDescent="0.3">
      <c r="A59" s="2" t="s">
        <v>38</v>
      </c>
    </row>
    <row r="60" spans="1:4" x14ac:dyDescent="0.3">
      <c r="A60" s="19" t="s">
        <v>39</v>
      </c>
      <c r="B60" s="8">
        <v>45900</v>
      </c>
      <c r="C60" s="15">
        <v>1</v>
      </c>
      <c r="D60" s="8">
        <f>B60*C60</f>
        <v>45900</v>
      </c>
    </row>
    <row r="61" spans="1:4" x14ac:dyDescent="0.3">
      <c r="A61" s="2" t="s">
        <v>40</v>
      </c>
      <c r="D61" s="4">
        <f>SUM(D60)</f>
        <v>45900</v>
      </c>
    </row>
    <row r="62" spans="1:4" x14ac:dyDescent="0.3">
      <c r="A62" s="2" t="s">
        <v>41</v>
      </c>
      <c r="D62" s="4">
        <f>D61*0.35</f>
        <v>16064.999999999998</v>
      </c>
    </row>
    <row r="63" spans="1:4" x14ac:dyDescent="0.3">
      <c r="A63" s="2" t="s">
        <v>42</v>
      </c>
      <c r="D63" s="4">
        <f>D61-D62</f>
        <v>29835</v>
      </c>
    </row>
    <row r="65" spans="1:4" s="30" customFormat="1" x14ac:dyDescent="0.3">
      <c r="A65" s="28" t="s">
        <v>44</v>
      </c>
      <c r="B65" s="29"/>
      <c r="C65" s="3"/>
      <c r="D65" s="29">
        <f>D22+D35+D39+D50+D57+D63</f>
        <v>626594.35</v>
      </c>
    </row>
    <row r="66" spans="1:4" s="30" customFormat="1" x14ac:dyDescent="0.3">
      <c r="A66" s="28" t="s">
        <v>43</v>
      </c>
      <c r="B66" s="29"/>
      <c r="C66" s="3"/>
      <c r="D66" s="29">
        <v>20000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Despacho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Administrator</cp:lastModifiedBy>
  <dcterms:created xsi:type="dcterms:W3CDTF">2006-09-16T00:00:00Z</dcterms:created>
  <dcterms:modified xsi:type="dcterms:W3CDTF">2026-03-06T21:32:17Z</dcterms:modified>
</cp:coreProperties>
</file>